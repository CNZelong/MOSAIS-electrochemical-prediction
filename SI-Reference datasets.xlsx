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庄泽隆\OneDrive\Desktop\MOSAIS投稿\NC\pack\"/>
    </mc:Choice>
  </mc:AlternateContent>
  <xr:revisionPtr revIDLastSave="0" documentId="13_ncr:1_{62B1F2FA-8368-44FC-9FFD-A02F6E023CB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ata-clean" sheetId="1" r:id="rId1"/>
  </sheets>
  <calcPr calcId="191029"/>
</workbook>
</file>

<file path=xl/calcChain.xml><?xml version="1.0" encoding="utf-8"?>
<calcChain xmlns="http://schemas.openxmlformats.org/spreadsheetml/2006/main">
  <c r="N39" i="1" l="1"/>
  <c r="M39" i="1"/>
  <c r="L39" i="1"/>
  <c r="K39" i="1"/>
  <c r="J39" i="1"/>
  <c r="N25" i="1"/>
  <c r="M25" i="1"/>
  <c r="L25" i="1"/>
  <c r="K25" i="1"/>
  <c r="J25" i="1"/>
  <c r="N24" i="1"/>
  <c r="M24" i="1"/>
  <c r="L24" i="1"/>
  <c r="K24" i="1"/>
</calcChain>
</file>

<file path=xl/sharedStrings.xml><?xml version="1.0" encoding="utf-8"?>
<sst xmlns="http://schemas.openxmlformats.org/spreadsheetml/2006/main" count="20" uniqueCount="19">
  <si>
    <t>Metal_Polarizability/ Å³</t>
  </si>
  <si>
    <t>r_min/Å</t>
  </si>
  <si>
    <t>S_BET/ m² g⁻¹</t>
  </si>
  <si>
    <t>OMS_Density / mmol g⁻¹</t>
  </si>
  <si>
    <t>Polar_Group_Density</t>
  </si>
  <si>
    <t>MOF_Modulus</t>
  </si>
  <si>
    <t>Anion_Radius/nm</t>
  </si>
  <si>
    <t>Lattice_Energy/kJ mol⁻¹</t>
  </si>
  <si>
    <t>Anion_HOMO/eV</t>
  </si>
  <si>
    <t>Tg / °C</t>
  </si>
  <si>
    <t>Crystallinity  %</t>
  </si>
  <si>
    <t>Donor_Density</t>
  </si>
  <si>
    <t>Poly_Modulus/ Gpa</t>
  </si>
  <si>
    <t>Conductivity_25C</t>
  </si>
  <si>
    <t>E_Window</t>
  </si>
  <si>
    <t>Li_Transfer</t>
  </si>
  <si>
    <t>–7.75</t>
  </si>
  <si>
    <t>0.253 </t>
  </si>
  <si>
    <r>
      <t>epsilon_r</t>
    </r>
    <r>
      <rPr>
        <b/>
        <vertAlign val="subscript"/>
        <sz val="14"/>
        <color theme="1"/>
        <rFont val="Times New Roman"/>
        <family val="1"/>
      </rPr>
      <t>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</si>
</sst>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b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zoomScale="85" zoomScaleNormal="85" workbookViewId="0">
      <selection activeCell="Q2" sqref="Q2"/>
    </sheetView>
  </sheetViews>
  <sheetFormatPr defaultColWidth="9" defaultRowHeight="14.25" x14ac:dyDescent="0.2"/>
  <cols>
    <col min="1" max="1" width="27" customWidth="1"/>
    <col min="2" max="2" width="11.875" customWidth="1"/>
    <col min="3" max="3" width="20.875" customWidth="1"/>
    <col min="4" max="4" width="27.5" customWidth="1"/>
    <col min="5" max="5" width="24.875" customWidth="1"/>
    <col min="6" max="6" width="16.625" customWidth="1"/>
    <col min="7" max="7" width="19.5" customWidth="1"/>
    <col min="8" max="8" width="28" customWidth="1"/>
    <col min="9" max="9" width="19.75" customWidth="1"/>
    <col min="10" max="10" width="11.5" customWidth="1"/>
    <col min="11" max="11" width="13.375" customWidth="1"/>
    <col min="12" max="12" width="16.25" customWidth="1"/>
    <col min="13" max="13" width="18.375" customWidth="1"/>
    <col min="14" max="14" width="22.75" customWidth="1"/>
    <col min="15" max="15" width="27.375" customWidth="1"/>
    <col min="16" max="16" width="15.375" customWidth="1"/>
    <col min="17" max="17" width="20.875" customWidth="1"/>
  </cols>
  <sheetData>
    <row r="1" spans="1:18" ht="37.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1"/>
    </row>
    <row r="2" spans="1:18" ht="18.75" x14ac:dyDescent="0.2">
      <c r="A2" s="2">
        <v>0.42</v>
      </c>
      <c r="B2" s="2">
        <v>9.5</v>
      </c>
      <c r="C2" s="2">
        <v>1410.8</v>
      </c>
      <c r="D2" s="2">
        <v>1.8</v>
      </c>
      <c r="E2" s="2">
        <v>12</v>
      </c>
      <c r="F2" s="2">
        <v>5.4</v>
      </c>
      <c r="G2" s="2">
        <v>0.379</v>
      </c>
      <c r="H2" s="2">
        <v>580</v>
      </c>
      <c r="I2" s="2">
        <v>-8.1999999999999993</v>
      </c>
      <c r="J2" s="2">
        <v>4</v>
      </c>
      <c r="K2" s="2">
        <v>100</v>
      </c>
      <c r="L2" s="2">
        <v>0</v>
      </c>
      <c r="M2" s="2">
        <v>18</v>
      </c>
      <c r="N2" s="2">
        <v>0.4</v>
      </c>
      <c r="O2" s="2">
        <v>0.73</v>
      </c>
      <c r="P2" s="2">
        <v>5.19</v>
      </c>
      <c r="Q2" s="2">
        <v>0.84</v>
      </c>
      <c r="R2" s="3"/>
    </row>
    <row r="3" spans="1:18" ht="18.75" x14ac:dyDescent="0.2">
      <c r="A3" s="2">
        <v>5.4</v>
      </c>
      <c r="B3" s="2">
        <v>3.4</v>
      </c>
      <c r="C3" s="2">
        <v>992.6</v>
      </c>
      <c r="D3" s="2">
        <v>0</v>
      </c>
      <c r="E3" s="2">
        <v>0</v>
      </c>
      <c r="F3" s="2">
        <v>0.02</v>
      </c>
      <c r="G3" s="2">
        <v>0.379</v>
      </c>
      <c r="H3" s="2">
        <v>580</v>
      </c>
      <c r="I3" s="2">
        <v>-8.1999999999999993</v>
      </c>
      <c r="J3" s="2">
        <v>8</v>
      </c>
      <c r="K3" s="2">
        <v>65.2</v>
      </c>
      <c r="L3" s="2">
        <v>15</v>
      </c>
      <c r="M3" s="2">
        <v>12.6</v>
      </c>
      <c r="N3" s="2">
        <v>0.8</v>
      </c>
      <c r="O3" s="2">
        <v>0.65</v>
      </c>
      <c r="P3" s="2">
        <v>4.97</v>
      </c>
      <c r="Q3" s="2">
        <v>0.54</v>
      </c>
      <c r="R3" s="3"/>
    </row>
    <row r="4" spans="1:18" ht="18.75" x14ac:dyDescent="0.2">
      <c r="A4" s="2">
        <v>0.42</v>
      </c>
      <c r="B4" s="2">
        <v>6</v>
      </c>
      <c r="C4" s="2">
        <v>425.96</v>
      </c>
      <c r="D4" s="2">
        <v>1.2</v>
      </c>
      <c r="E4" s="2">
        <v>0</v>
      </c>
      <c r="F4" s="2">
        <v>20</v>
      </c>
      <c r="G4" s="2">
        <v>0.379</v>
      </c>
      <c r="H4" s="2">
        <v>580</v>
      </c>
      <c r="I4" s="2">
        <v>-8.1999999999999993</v>
      </c>
      <c r="J4" s="2">
        <v>5.5</v>
      </c>
      <c r="K4" s="2">
        <v>95</v>
      </c>
      <c r="L4" s="2">
        <v>10</v>
      </c>
      <c r="M4" s="2">
        <v>25</v>
      </c>
      <c r="N4" s="2">
        <v>3.4</v>
      </c>
      <c r="O4" s="2">
        <v>0.4</v>
      </c>
      <c r="P4" s="2">
        <v>4.8</v>
      </c>
      <c r="Q4" s="2">
        <v>0.65</v>
      </c>
      <c r="R4" s="3"/>
    </row>
    <row r="5" spans="1:18" ht="18.75" x14ac:dyDescent="0.2">
      <c r="A5" s="2">
        <v>6.3</v>
      </c>
      <c r="B5" s="2">
        <v>0.4</v>
      </c>
      <c r="C5" s="2">
        <v>650</v>
      </c>
      <c r="D5" s="2">
        <v>2</v>
      </c>
      <c r="E5" s="2">
        <v>4</v>
      </c>
      <c r="F5" s="2">
        <v>6</v>
      </c>
      <c r="G5" s="2">
        <v>0.379</v>
      </c>
      <c r="H5" s="2">
        <v>580</v>
      </c>
      <c r="I5" s="2">
        <v>-8.1999999999999993</v>
      </c>
      <c r="J5" s="2">
        <v>9.5</v>
      </c>
      <c r="K5" s="2">
        <v>-35</v>
      </c>
      <c r="L5" s="2">
        <v>55</v>
      </c>
      <c r="M5" s="2">
        <v>0</v>
      </c>
      <c r="N5" s="2">
        <v>2.5</v>
      </c>
      <c r="O5" s="2">
        <v>0.34</v>
      </c>
      <c r="P5" s="2">
        <v>4.3</v>
      </c>
      <c r="Q5" s="2">
        <v>0.87</v>
      </c>
      <c r="R5" s="3"/>
    </row>
    <row r="6" spans="1:18" ht="18.75" x14ac:dyDescent="0.2">
      <c r="A6" s="2">
        <v>7.4</v>
      </c>
      <c r="B6" s="2">
        <v>11</v>
      </c>
      <c r="C6" s="2">
        <v>1300</v>
      </c>
      <c r="D6" s="2">
        <v>4.5</v>
      </c>
      <c r="E6" s="2">
        <v>0</v>
      </c>
      <c r="F6" s="2">
        <v>30</v>
      </c>
      <c r="G6" s="2">
        <v>0.379</v>
      </c>
      <c r="H6" s="2">
        <v>580</v>
      </c>
      <c r="I6" s="2">
        <v>-8.1999999999999993</v>
      </c>
      <c r="J6" s="2">
        <v>8.4</v>
      </c>
      <c r="K6" s="2">
        <v>-35</v>
      </c>
      <c r="L6" s="2">
        <v>27</v>
      </c>
      <c r="M6" s="2">
        <v>0</v>
      </c>
      <c r="N6" s="2">
        <v>1</v>
      </c>
      <c r="O6" s="2">
        <v>0.34</v>
      </c>
      <c r="P6" s="2">
        <v>4.5</v>
      </c>
      <c r="Q6" s="2">
        <v>0.83</v>
      </c>
      <c r="R6" s="3"/>
    </row>
    <row r="7" spans="1:18" ht="18.75" x14ac:dyDescent="0.2">
      <c r="A7" s="2">
        <v>5.9</v>
      </c>
      <c r="B7" s="2">
        <v>11</v>
      </c>
      <c r="C7" s="2">
        <v>1200</v>
      </c>
      <c r="D7" s="2">
        <v>4.5</v>
      </c>
      <c r="E7" s="2">
        <v>0</v>
      </c>
      <c r="F7" s="2">
        <v>30</v>
      </c>
      <c r="G7" s="2">
        <v>0.379</v>
      </c>
      <c r="H7" s="2">
        <v>580</v>
      </c>
      <c r="I7" s="2">
        <v>-8.1999999999999993</v>
      </c>
      <c r="J7" s="2">
        <v>8.4</v>
      </c>
      <c r="K7" s="2">
        <v>-35</v>
      </c>
      <c r="L7" s="2">
        <v>27</v>
      </c>
      <c r="M7" s="2">
        <v>0</v>
      </c>
      <c r="N7" s="2">
        <v>1</v>
      </c>
      <c r="O7" s="2">
        <v>0.31</v>
      </c>
      <c r="P7" s="2">
        <v>4.2</v>
      </c>
      <c r="Q7" s="2">
        <v>0.93</v>
      </c>
      <c r="R7" s="3"/>
    </row>
    <row r="8" spans="1:18" ht="18.75" x14ac:dyDescent="0.2">
      <c r="A8" s="2">
        <v>4.3</v>
      </c>
      <c r="B8" s="2">
        <v>11</v>
      </c>
      <c r="C8" s="2">
        <v>1300</v>
      </c>
      <c r="D8" s="2">
        <v>4.5</v>
      </c>
      <c r="E8" s="2">
        <v>0</v>
      </c>
      <c r="F8" s="2">
        <v>30</v>
      </c>
      <c r="G8" s="2">
        <v>0.379</v>
      </c>
      <c r="H8" s="2">
        <v>580</v>
      </c>
      <c r="I8" s="2">
        <v>-8.1999999999999993</v>
      </c>
      <c r="J8" s="2">
        <v>8.4</v>
      </c>
      <c r="K8" s="2">
        <v>-35</v>
      </c>
      <c r="L8" s="2">
        <v>27</v>
      </c>
      <c r="M8" s="2">
        <v>0</v>
      </c>
      <c r="N8" s="2">
        <v>1</v>
      </c>
      <c r="O8" s="2">
        <v>0.28000000000000003</v>
      </c>
      <c r="P8" s="2">
        <v>4.0999999999999996</v>
      </c>
      <c r="Q8" s="2">
        <v>0.82</v>
      </c>
      <c r="R8" s="3"/>
    </row>
    <row r="9" spans="1:18" ht="18.75" x14ac:dyDescent="0.2">
      <c r="A9" s="2">
        <v>5.4</v>
      </c>
      <c r="B9" s="2">
        <v>3.4</v>
      </c>
      <c r="C9" s="2">
        <v>1650</v>
      </c>
      <c r="D9" s="2">
        <v>0</v>
      </c>
      <c r="E9" s="2">
        <v>0</v>
      </c>
      <c r="F9" s="2">
        <v>0.02</v>
      </c>
      <c r="G9" s="2">
        <v>0.379</v>
      </c>
      <c r="H9" s="2">
        <v>580</v>
      </c>
      <c r="I9" s="2">
        <v>-8.1999999999999993</v>
      </c>
      <c r="J9" s="2">
        <v>3.4</v>
      </c>
      <c r="K9" s="2">
        <v>360</v>
      </c>
      <c r="L9" s="2">
        <v>0</v>
      </c>
      <c r="M9" s="2">
        <v>18</v>
      </c>
      <c r="N9" s="2">
        <v>2.5</v>
      </c>
      <c r="O9" s="2">
        <v>2.4</v>
      </c>
      <c r="P9" s="2">
        <v>4.8</v>
      </c>
      <c r="Q9" s="2">
        <v>0.88</v>
      </c>
      <c r="R9" s="3"/>
    </row>
    <row r="10" spans="1:18" ht="18.75" x14ac:dyDescent="0.2">
      <c r="A10" s="2">
        <v>6.3</v>
      </c>
      <c r="B10" s="2">
        <v>6.4</v>
      </c>
      <c r="C10" s="2">
        <v>1012</v>
      </c>
      <c r="D10" s="2">
        <v>3.5</v>
      </c>
      <c r="E10" s="2">
        <v>0</v>
      </c>
      <c r="F10" s="2">
        <v>5</v>
      </c>
      <c r="G10" s="2">
        <v>0.379</v>
      </c>
      <c r="H10" s="2">
        <v>580</v>
      </c>
      <c r="I10" s="2">
        <v>-8.1999999999999993</v>
      </c>
      <c r="J10" s="2">
        <v>9.5</v>
      </c>
      <c r="K10" s="2">
        <v>-35</v>
      </c>
      <c r="L10" s="2">
        <v>55</v>
      </c>
      <c r="M10" s="2">
        <v>0</v>
      </c>
      <c r="N10" s="2">
        <v>2.5</v>
      </c>
      <c r="O10" s="2">
        <v>0.25</v>
      </c>
      <c r="P10" s="2">
        <v>4.4000000000000004</v>
      </c>
      <c r="Q10" s="2">
        <v>0.87</v>
      </c>
      <c r="R10" s="3"/>
    </row>
    <row r="11" spans="1:18" ht="18.75" x14ac:dyDescent="0.2">
      <c r="A11" s="2">
        <v>1.8</v>
      </c>
      <c r="B11" s="2">
        <v>7</v>
      </c>
      <c r="C11" s="2">
        <v>1150</v>
      </c>
      <c r="D11" s="2">
        <v>0</v>
      </c>
      <c r="E11" s="2">
        <v>0</v>
      </c>
      <c r="F11" s="2">
        <v>7</v>
      </c>
      <c r="G11" s="2">
        <v>0.379</v>
      </c>
      <c r="H11" s="2">
        <v>580</v>
      </c>
      <c r="I11" s="2">
        <v>-8.1999999999999993</v>
      </c>
      <c r="J11" s="2">
        <v>7.8</v>
      </c>
      <c r="K11" s="2">
        <v>-41</v>
      </c>
      <c r="L11" s="2">
        <v>60</v>
      </c>
      <c r="M11" s="2">
        <v>33</v>
      </c>
      <c r="N11" s="2">
        <v>0.6</v>
      </c>
      <c r="O11" s="2">
        <v>0.04</v>
      </c>
      <c r="P11" s="2">
        <v>4.8</v>
      </c>
      <c r="Q11" s="2">
        <v>0.4</v>
      </c>
      <c r="R11" s="3"/>
    </row>
    <row r="12" spans="1:18" ht="18.75" x14ac:dyDescent="0.2">
      <c r="A12" s="2">
        <v>0.42</v>
      </c>
      <c r="B12" s="2">
        <v>5.8</v>
      </c>
      <c r="C12" s="2">
        <v>1100</v>
      </c>
      <c r="D12" s="2">
        <v>1.2</v>
      </c>
      <c r="E12" s="2">
        <v>0</v>
      </c>
      <c r="F12" s="2">
        <v>20</v>
      </c>
      <c r="G12" s="2">
        <v>0.379</v>
      </c>
      <c r="H12" s="2">
        <v>580</v>
      </c>
      <c r="I12" s="2">
        <v>-8.1999999999999993</v>
      </c>
      <c r="J12" s="2">
        <v>9.5</v>
      </c>
      <c r="K12" s="2">
        <v>-35</v>
      </c>
      <c r="L12" s="2">
        <v>55</v>
      </c>
      <c r="M12" s="2">
        <v>0</v>
      </c>
      <c r="N12" s="2">
        <v>2.5</v>
      </c>
      <c r="O12" s="2">
        <v>0.46</v>
      </c>
      <c r="P12" s="2">
        <v>5.0999999999999996</v>
      </c>
      <c r="Q12" s="2">
        <v>0.6</v>
      </c>
      <c r="R12" s="3"/>
    </row>
    <row r="13" spans="1:18" ht="18.75" x14ac:dyDescent="0.2">
      <c r="A13" s="2">
        <v>0.42</v>
      </c>
      <c r="B13" s="2">
        <v>6</v>
      </c>
      <c r="C13" s="2">
        <v>820</v>
      </c>
      <c r="D13" s="2">
        <v>1.2</v>
      </c>
      <c r="E13" s="2">
        <v>3</v>
      </c>
      <c r="F13" s="2">
        <v>17.5</v>
      </c>
      <c r="G13" s="2">
        <v>0.379</v>
      </c>
      <c r="H13" s="2">
        <v>580</v>
      </c>
      <c r="I13" s="2">
        <v>-8.1999999999999993</v>
      </c>
      <c r="J13" s="2">
        <v>7.8</v>
      </c>
      <c r="K13" s="2">
        <v>-41</v>
      </c>
      <c r="L13" s="2">
        <v>60</v>
      </c>
      <c r="M13" s="2">
        <v>33</v>
      </c>
      <c r="N13" s="2">
        <v>0.6</v>
      </c>
      <c r="O13" s="2">
        <v>0.6</v>
      </c>
      <c r="P13" s="2">
        <v>5</v>
      </c>
      <c r="Q13" s="2">
        <v>0.36</v>
      </c>
      <c r="R13" s="3"/>
    </row>
    <row r="14" spans="1:18" ht="18.75" x14ac:dyDescent="0.2">
      <c r="A14" s="2">
        <v>1.8</v>
      </c>
      <c r="B14" s="2">
        <v>7</v>
      </c>
      <c r="C14" s="2">
        <v>1150</v>
      </c>
      <c r="D14" s="2">
        <v>0</v>
      </c>
      <c r="E14" s="2">
        <v>0</v>
      </c>
      <c r="F14" s="2">
        <v>7</v>
      </c>
      <c r="G14" s="2">
        <v>0.379</v>
      </c>
      <c r="H14" s="2">
        <v>580</v>
      </c>
      <c r="I14" s="2">
        <v>-8.1999999999999993</v>
      </c>
      <c r="J14" s="2">
        <v>7.8</v>
      </c>
      <c r="K14" s="2">
        <v>-41</v>
      </c>
      <c r="L14" s="2">
        <v>60</v>
      </c>
      <c r="M14" s="2">
        <v>33</v>
      </c>
      <c r="N14" s="2">
        <v>0.6</v>
      </c>
      <c r="O14" s="2">
        <v>0.04</v>
      </c>
      <c r="P14" s="2">
        <v>4.8</v>
      </c>
      <c r="Q14" s="2">
        <v>0.3</v>
      </c>
      <c r="R14" s="3"/>
    </row>
    <row r="15" spans="1:18" ht="18.75" x14ac:dyDescent="0.2">
      <c r="A15" s="2">
        <v>4.7</v>
      </c>
      <c r="B15" s="2">
        <v>5</v>
      </c>
      <c r="C15" s="2">
        <v>35.979999999999997</v>
      </c>
      <c r="D15" s="2">
        <v>0.1</v>
      </c>
      <c r="E15" s="2">
        <v>1.5</v>
      </c>
      <c r="F15" s="2">
        <v>0.05</v>
      </c>
      <c r="G15" s="2">
        <v>0.379</v>
      </c>
      <c r="H15" s="2">
        <v>580</v>
      </c>
      <c r="I15" s="2">
        <v>-8.1999999999999993</v>
      </c>
      <c r="J15" s="2">
        <v>3.6</v>
      </c>
      <c r="K15" s="2">
        <v>275</v>
      </c>
      <c r="L15" s="2">
        <v>40</v>
      </c>
      <c r="M15" s="2">
        <v>21</v>
      </c>
      <c r="N15" s="2">
        <v>24.7</v>
      </c>
      <c r="O15" s="2">
        <v>3.5000000000000003E-2</v>
      </c>
      <c r="P15" s="2">
        <v>4.7</v>
      </c>
      <c r="Q15" s="2">
        <v>0.85</v>
      </c>
      <c r="R15" s="3"/>
    </row>
    <row r="16" spans="1:18" ht="18.75" x14ac:dyDescent="0.2">
      <c r="A16" s="2">
        <v>6.3</v>
      </c>
      <c r="B16" s="2">
        <v>7</v>
      </c>
      <c r="C16" s="2">
        <v>1150</v>
      </c>
      <c r="D16" s="2">
        <v>3.6</v>
      </c>
      <c r="E16" s="2">
        <v>0</v>
      </c>
      <c r="F16" s="2">
        <v>11</v>
      </c>
      <c r="G16" s="2">
        <v>0.379</v>
      </c>
      <c r="H16" s="2">
        <v>580</v>
      </c>
      <c r="I16" s="2">
        <v>-8.1999999999999993</v>
      </c>
      <c r="J16" s="2">
        <v>5.5</v>
      </c>
      <c r="K16" s="2">
        <v>95</v>
      </c>
      <c r="L16" s="2">
        <v>10</v>
      </c>
      <c r="M16" s="2">
        <v>25</v>
      </c>
      <c r="N16" s="2">
        <v>3.4</v>
      </c>
      <c r="O16" s="2">
        <v>2.4300000000000002</v>
      </c>
      <c r="P16" s="2">
        <v>4.76</v>
      </c>
      <c r="Q16" s="2">
        <v>0.77</v>
      </c>
      <c r="R16" s="3"/>
    </row>
    <row r="17" spans="1:18" ht="18.75" x14ac:dyDescent="0.2">
      <c r="A17" s="2">
        <v>5.4</v>
      </c>
      <c r="B17" s="2">
        <v>3.4</v>
      </c>
      <c r="C17" s="2">
        <v>1650</v>
      </c>
      <c r="D17" s="2">
        <v>0</v>
      </c>
      <c r="E17" s="2">
        <v>1.2</v>
      </c>
      <c r="F17" s="2">
        <v>1.2</v>
      </c>
      <c r="G17" s="2">
        <v>0.379</v>
      </c>
      <c r="H17" s="2">
        <v>580</v>
      </c>
      <c r="I17" s="2">
        <v>-8.1999999999999993</v>
      </c>
      <c r="J17" s="2">
        <v>8.4</v>
      </c>
      <c r="K17" s="2">
        <v>-35</v>
      </c>
      <c r="L17" s="2">
        <v>27</v>
      </c>
      <c r="M17" s="2">
        <v>0</v>
      </c>
      <c r="N17" s="2">
        <v>1</v>
      </c>
      <c r="O17" s="2">
        <v>0.55000000000000004</v>
      </c>
      <c r="P17" s="2">
        <v>5</v>
      </c>
      <c r="Q17" s="2">
        <v>0.87</v>
      </c>
      <c r="R17" s="3"/>
    </row>
    <row r="18" spans="1:18" ht="18.75" x14ac:dyDescent="0.2">
      <c r="A18" s="2">
        <v>6.9</v>
      </c>
      <c r="B18" s="2">
        <v>7.5</v>
      </c>
      <c r="C18" s="2">
        <v>900</v>
      </c>
      <c r="D18" s="2">
        <v>0.5</v>
      </c>
      <c r="E18" s="2">
        <v>0.3</v>
      </c>
      <c r="F18" s="2">
        <v>0.1</v>
      </c>
      <c r="G18" s="2">
        <v>0.379</v>
      </c>
      <c r="H18" s="2">
        <v>580</v>
      </c>
      <c r="I18" s="2">
        <v>-8.1999999999999993</v>
      </c>
      <c r="J18" s="2">
        <v>8.4</v>
      </c>
      <c r="K18" s="2">
        <v>-35</v>
      </c>
      <c r="L18" s="2">
        <v>27</v>
      </c>
      <c r="M18" s="2">
        <v>0</v>
      </c>
      <c r="N18" s="2">
        <v>1</v>
      </c>
      <c r="O18" s="2">
        <v>1.23</v>
      </c>
      <c r="P18" s="2">
        <v>4.9000000000000004</v>
      </c>
      <c r="Q18" s="2">
        <v>0.49</v>
      </c>
      <c r="R18" s="3"/>
    </row>
    <row r="19" spans="1:18" ht="18.75" x14ac:dyDescent="0.2">
      <c r="A19" s="2">
        <v>6.3</v>
      </c>
      <c r="B19" s="2">
        <v>7</v>
      </c>
      <c r="C19" s="2">
        <v>1150</v>
      </c>
      <c r="D19" s="2">
        <v>3.6</v>
      </c>
      <c r="E19" s="2">
        <v>0</v>
      </c>
      <c r="F19" s="2">
        <v>11</v>
      </c>
      <c r="G19" s="2">
        <v>0.379</v>
      </c>
      <c r="H19" s="2">
        <v>580</v>
      </c>
      <c r="I19" s="2">
        <v>-8.1999999999999993</v>
      </c>
      <c r="J19" s="2">
        <v>13</v>
      </c>
      <c r="K19" s="2">
        <v>-10</v>
      </c>
      <c r="L19" s="2">
        <v>0</v>
      </c>
      <c r="M19" s="2">
        <v>42</v>
      </c>
      <c r="N19" s="2">
        <v>0.05</v>
      </c>
      <c r="O19" s="2">
        <v>0.40699999999999997</v>
      </c>
      <c r="P19" s="2">
        <v>5.03</v>
      </c>
      <c r="Q19" s="2">
        <v>0.36699999999999999</v>
      </c>
      <c r="R19" s="3"/>
    </row>
    <row r="20" spans="1:18" ht="18.75" x14ac:dyDescent="0.2">
      <c r="A20" s="2">
        <v>4.7</v>
      </c>
      <c r="B20" s="2">
        <v>7</v>
      </c>
      <c r="C20" s="2">
        <v>1100</v>
      </c>
      <c r="D20" s="2">
        <v>3.6</v>
      </c>
      <c r="E20" s="2">
        <v>0</v>
      </c>
      <c r="F20" s="2">
        <v>11</v>
      </c>
      <c r="G20" s="2">
        <v>0.379</v>
      </c>
      <c r="H20" s="2">
        <v>580</v>
      </c>
      <c r="I20" s="2">
        <v>-8.1999999999999993</v>
      </c>
      <c r="J20" s="2">
        <v>7.8</v>
      </c>
      <c r="K20" s="2">
        <v>-41</v>
      </c>
      <c r="L20" s="2">
        <v>60</v>
      </c>
      <c r="M20" s="2">
        <v>33</v>
      </c>
      <c r="N20" s="2">
        <v>0.6</v>
      </c>
      <c r="O20" s="2">
        <v>0.81399999999999995</v>
      </c>
      <c r="P20" s="2">
        <v>5.25</v>
      </c>
      <c r="Q20" s="2">
        <v>0.47</v>
      </c>
      <c r="R20" s="3"/>
    </row>
    <row r="21" spans="1:18" ht="18.75" x14ac:dyDescent="0.2">
      <c r="A21" s="2">
        <v>0.8</v>
      </c>
      <c r="B21" s="2">
        <v>11</v>
      </c>
      <c r="C21" s="2">
        <v>1100</v>
      </c>
      <c r="D21" s="2">
        <v>4.5</v>
      </c>
      <c r="E21" s="2">
        <v>0</v>
      </c>
      <c r="F21" s="2">
        <v>35</v>
      </c>
      <c r="G21" s="2">
        <v>0.379</v>
      </c>
      <c r="H21" s="2">
        <v>580</v>
      </c>
      <c r="I21" s="2">
        <v>-8.1999999999999993</v>
      </c>
      <c r="J21" s="2">
        <v>8.4</v>
      </c>
      <c r="K21" s="2">
        <v>-35</v>
      </c>
      <c r="L21" s="2">
        <v>27</v>
      </c>
      <c r="M21" s="2">
        <v>0</v>
      </c>
      <c r="N21" s="2">
        <v>1</v>
      </c>
      <c r="O21" s="2">
        <v>0.67200000000000004</v>
      </c>
      <c r="P21" s="2">
        <v>4.7</v>
      </c>
      <c r="Q21" s="2">
        <v>0.66</v>
      </c>
      <c r="R21" s="3"/>
    </row>
    <row r="22" spans="1:18" ht="18.75" x14ac:dyDescent="0.2">
      <c r="A22" s="2">
        <v>4.3</v>
      </c>
      <c r="B22" s="2">
        <v>6</v>
      </c>
      <c r="C22" s="2">
        <v>502.7</v>
      </c>
      <c r="D22" s="2">
        <v>0.8</v>
      </c>
      <c r="E22" s="2">
        <v>0.2</v>
      </c>
      <c r="F22" s="2">
        <v>0.2</v>
      </c>
      <c r="G22" s="2">
        <v>0.379</v>
      </c>
      <c r="H22" s="2">
        <v>580</v>
      </c>
      <c r="I22" s="2">
        <v>-8.1999999999999993</v>
      </c>
      <c r="J22" s="2">
        <v>7.8</v>
      </c>
      <c r="K22" s="2">
        <v>-41</v>
      </c>
      <c r="L22" s="2">
        <v>60</v>
      </c>
      <c r="M22" s="2">
        <v>33</v>
      </c>
      <c r="N22" s="2">
        <v>0.6</v>
      </c>
      <c r="O22" s="2">
        <v>0.191</v>
      </c>
      <c r="P22" s="2">
        <v>5.2</v>
      </c>
      <c r="Q22" s="2">
        <v>0.5</v>
      </c>
      <c r="R22" s="3"/>
    </row>
    <row r="23" spans="1:18" ht="18.75" x14ac:dyDescent="0.2">
      <c r="A23" s="2">
        <v>1.1000000000000001</v>
      </c>
      <c r="B23" s="2">
        <v>10</v>
      </c>
      <c r="C23" s="2">
        <v>1500</v>
      </c>
      <c r="D23" s="2">
        <v>0</v>
      </c>
      <c r="E23" s="2">
        <v>4</v>
      </c>
      <c r="F23" s="2">
        <v>10</v>
      </c>
      <c r="G23" s="2">
        <v>0.379</v>
      </c>
      <c r="H23" s="2">
        <v>580</v>
      </c>
      <c r="I23" s="2">
        <v>-8.1999999999999993</v>
      </c>
      <c r="J23" s="2">
        <v>7.8</v>
      </c>
      <c r="K23" s="2">
        <v>-41</v>
      </c>
      <c r="L23" s="2">
        <v>60</v>
      </c>
      <c r="M23" s="2">
        <v>33</v>
      </c>
      <c r="N23" s="2">
        <v>0.6</v>
      </c>
      <c r="O23" s="2">
        <v>2.1000000000000001E-2</v>
      </c>
      <c r="P23" s="2">
        <v>4.2</v>
      </c>
      <c r="Q23" s="2">
        <v>0.81</v>
      </c>
      <c r="R23" s="4"/>
    </row>
    <row r="24" spans="1:18" ht="18.75" x14ac:dyDescent="0.2">
      <c r="A24" s="2">
        <v>6.1</v>
      </c>
      <c r="B24" s="2">
        <v>0.33</v>
      </c>
      <c r="C24" s="2">
        <v>980</v>
      </c>
      <c r="D24" s="2">
        <v>0</v>
      </c>
      <c r="E24" s="2">
        <v>3</v>
      </c>
      <c r="F24" s="2">
        <v>5</v>
      </c>
      <c r="G24" s="2">
        <v>0.379</v>
      </c>
      <c r="H24" s="2">
        <v>580</v>
      </c>
      <c r="I24" s="2">
        <v>-8.1999999999999993</v>
      </c>
      <c r="J24" s="2">
        <v>6.65</v>
      </c>
      <c r="K24" s="2">
        <f>(K23+K30)/2</f>
        <v>27</v>
      </c>
      <c r="L24" s="2">
        <f t="shared" ref="L24:N24" si="0">(L23+L30)/2</f>
        <v>35</v>
      </c>
      <c r="M24" s="2">
        <f t="shared" si="0"/>
        <v>29</v>
      </c>
      <c r="N24" s="2">
        <f t="shared" si="0"/>
        <v>2</v>
      </c>
      <c r="O24" s="2">
        <v>0.437</v>
      </c>
      <c r="P24" s="2">
        <v>5.34</v>
      </c>
      <c r="Q24" s="2">
        <v>0.69</v>
      </c>
      <c r="R24" s="3"/>
    </row>
    <row r="25" spans="1:18" ht="18.75" x14ac:dyDescent="0.2">
      <c r="A25" s="2">
        <v>0.42</v>
      </c>
      <c r="B25" s="2">
        <v>6</v>
      </c>
      <c r="C25" s="2">
        <v>1100</v>
      </c>
      <c r="D25" s="2">
        <v>3.6</v>
      </c>
      <c r="E25" s="2">
        <v>0</v>
      </c>
      <c r="F25" s="2">
        <v>18</v>
      </c>
      <c r="G25" s="2">
        <v>0.379</v>
      </c>
      <c r="H25" s="2">
        <v>580</v>
      </c>
      <c r="I25" s="2">
        <v>-8.1999999999999993</v>
      </c>
      <c r="J25" s="2">
        <f>(J30+J28+J26+J9)/4</f>
        <v>6.2750000000000004</v>
      </c>
      <c r="K25" s="2">
        <f t="shared" ref="K25:N25" si="1">(K30+K28+K26+K9)/4</f>
        <v>94.75</v>
      </c>
      <c r="L25" s="2">
        <f t="shared" si="1"/>
        <v>24.25</v>
      </c>
      <c r="M25" s="2">
        <f t="shared" si="1"/>
        <v>19</v>
      </c>
      <c r="N25" s="2">
        <f t="shared" si="1"/>
        <v>1.875</v>
      </c>
      <c r="O25" s="2">
        <v>1.42</v>
      </c>
      <c r="P25" s="2">
        <v>4.4000000000000004</v>
      </c>
      <c r="Q25" s="2">
        <v>0.72</v>
      </c>
      <c r="R25" s="3"/>
    </row>
    <row r="26" spans="1:18" ht="18.75" x14ac:dyDescent="0.2">
      <c r="A26" s="2">
        <v>6.3</v>
      </c>
      <c r="B26" s="2">
        <v>6.43</v>
      </c>
      <c r="C26" s="2">
        <v>1196</v>
      </c>
      <c r="D26" s="2">
        <v>3.6</v>
      </c>
      <c r="E26" s="2">
        <v>0</v>
      </c>
      <c r="F26" s="2">
        <v>11</v>
      </c>
      <c r="G26" s="2">
        <v>0.379</v>
      </c>
      <c r="H26" s="2">
        <v>580</v>
      </c>
      <c r="I26" s="2">
        <v>-8.1999999999999993</v>
      </c>
      <c r="J26" s="2">
        <v>7.8</v>
      </c>
      <c r="K26" s="2">
        <v>-41</v>
      </c>
      <c r="L26" s="2">
        <v>60</v>
      </c>
      <c r="M26" s="2">
        <v>33</v>
      </c>
      <c r="N26" s="2">
        <v>0.6</v>
      </c>
      <c r="O26" s="2">
        <v>4.5999999999999999E-2</v>
      </c>
      <c r="P26" s="2">
        <v>4.8</v>
      </c>
      <c r="Q26" s="2">
        <v>0.57999999999999996</v>
      </c>
      <c r="R26" s="3"/>
    </row>
    <row r="27" spans="1:18" ht="18.75" x14ac:dyDescent="0.2">
      <c r="A27" s="2">
        <v>6.2</v>
      </c>
      <c r="B27" s="2">
        <v>11</v>
      </c>
      <c r="C27" s="2">
        <v>1250</v>
      </c>
      <c r="D27" s="2">
        <v>4.5</v>
      </c>
      <c r="E27" s="2">
        <v>0</v>
      </c>
      <c r="F27" s="2">
        <v>30</v>
      </c>
      <c r="G27" s="2">
        <v>0.379</v>
      </c>
      <c r="H27" s="2">
        <v>580</v>
      </c>
      <c r="I27" s="2">
        <v>-8.1999999999999993</v>
      </c>
      <c r="J27" s="2">
        <v>55</v>
      </c>
      <c r="K27" s="2">
        <v>-26</v>
      </c>
      <c r="L27" s="2">
        <v>100</v>
      </c>
      <c r="M27" s="2">
        <v>25</v>
      </c>
      <c r="N27" s="2">
        <v>0.01</v>
      </c>
      <c r="O27" s="2">
        <v>0.74099999999999999</v>
      </c>
      <c r="P27" s="2">
        <v>4.2</v>
      </c>
      <c r="Q27" s="2">
        <v>0.59</v>
      </c>
      <c r="R27" s="3"/>
    </row>
    <row r="28" spans="1:18" ht="18.75" x14ac:dyDescent="0.2">
      <c r="A28" s="2">
        <v>6.9</v>
      </c>
      <c r="B28" s="2">
        <v>7.5</v>
      </c>
      <c r="C28" s="2">
        <v>900</v>
      </c>
      <c r="D28" s="2">
        <v>0.5</v>
      </c>
      <c r="E28" s="2">
        <v>0.3</v>
      </c>
      <c r="F28" s="2">
        <v>0.1</v>
      </c>
      <c r="G28" s="2">
        <v>0.379</v>
      </c>
      <c r="H28" s="2">
        <v>580</v>
      </c>
      <c r="I28" s="2">
        <v>-8.1999999999999993</v>
      </c>
      <c r="J28" s="2">
        <v>8.4</v>
      </c>
      <c r="K28" s="2">
        <v>-35</v>
      </c>
      <c r="L28" s="2">
        <v>27</v>
      </c>
      <c r="M28" s="2">
        <v>0</v>
      </c>
      <c r="N28" s="2">
        <v>1</v>
      </c>
      <c r="O28" s="2">
        <v>1.23</v>
      </c>
      <c r="P28" s="2">
        <v>4.3</v>
      </c>
      <c r="Q28" s="2">
        <v>0.41</v>
      </c>
      <c r="R28" s="3"/>
    </row>
    <row r="29" spans="1:18" ht="18.75" x14ac:dyDescent="0.2">
      <c r="A29" s="2">
        <v>6.3</v>
      </c>
      <c r="B29" s="2">
        <v>7</v>
      </c>
      <c r="C29" s="2">
        <v>1150</v>
      </c>
      <c r="D29" s="2">
        <v>3.6</v>
      </c>
      <c r="E29" s="2">
        <v>0</v>
      </c>
      <c r="F29" s="2">
        <v>11</v>
      </c>
      <c r="G29" s="2">
        <v>0.379</v>
      </c>
      <c r="H29" s="2">
        <v>580</v>
      </c>
      <c r="I29" s="2">
        <v>-8.1999999999999993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0.4</v>
      </c>
      <c r="P29" s="6">
        <v>4.3</v>
      </c>
      <c r="Q29" s="6">
        <v>0.45</v>
      </c>
      <c r="R29" s="5"/>
    </row>
    <row r="30" spans="1:18" ht="18.75" x14ac:dyDescent="0.2">
      <c r="A30" s="2">
        <v>6.3</v>
      </c>
      <c r="B30" s="2">
        <v>7</v>
      </c>
      <c r="C30" s="2">
        <v>1150</v>
      </c>
      <c r="D30" s="2">
        <v>3.6</v>
      </c>
      <c r="E30" s="2">
        <v>0</v>
      </c>
      <c r="F30" s="2">
        <v>11</v>
      </c>
      <c r="G30" s="2">
        <v>0.379</v>
      </c>
      <c r="H30" s="2">
        <v>580</v>
      </c>
      <c r="I30" s="2">
        <v>-8.1999999999999993</v>
      </c>
      <c r="J30" s="2">
        <v>5.5</v>
      </c>
      <c r="K30" s="2">
        <v>95</v>
      </c>
      <c r="L30" s="2">
        <v>10</v>
      </c>
      <c r="M30" s="2">
        <v>25</v>
      </c>
      <c r="N30" s="2">
        <v>3.4</v>
      </c>
      <c r="O30" s="2">
        <v>2.4</v>
      </c>
      <c r="P30" s="2">
        <v>5</v>
      </c>
      <c r="Q30" s="2">
        <v>0.68899999999999995</v>
      </c>
      <c r="R30" s="3"/>
    </row>
    <row r="31" spans="1:18" ht="18.75" x14ac:dyDescent="0.2">
      <c r="A31" s="2">
        <v>0.42</v>
      </c>
      <c r="B31" s="2">
        <v>6</v>
      </c>
      <c r="C31" s="2">
        <v>820</v>
      </c>
      <c r="D31" s="2">
        <v>1.2</v>
      </c>
      <c r="E31" s="2">
        <v>3</v>
      </c>
      <c r="F31" s="2">
        <v>18</v>
      </c>
      <c r="G31" s="2">
        <v>0.379</v>
      </c>
      <c r="H31" s="2">
        <v>580</v>
      </c>
      <c r="I31" s="2">
        <v>-8.1999999999999993</v>
      </c>
      <c r="J31" s="2">
        <v>10</v>
      </c>
      <c r="K31" s="2">
        <v>-30</v>
      </c>
      <c r="L31" s="2">
        <v>0</v>
      </c>
      <c r="M31" s="2">
        <v>30</v>
      </c>
      <c r="N31" s="2">
        <v>0.01</v>
      </c>
      <c r="O31" s="2">
        <v>0.22600000000000001</v>
      </c>
      <c r="P31" s="2">
        <v>5.5</v>
      </c>
      <c r="Q31" s="2">
        <v>0.44</v>
      </c>
      <c r="R31" s="3"/>
    </row>
    <row r="32" spans="1:18" ht="18.75" x14ac:dyDescent="0.2">
      <c r="A32" s="2">
        <v>1.8</v>
      </c>
      <c r="B32" s="2">
        <v>7</v>
      </c>
      <c r="C32" s="2">
        <v>1200</v>
      </c>
      <c r="D32" s="2">
        <v>0</v>
      </c>
      <c r="E32" s="2">
        <v>4</v>
      </c>
      <c r="F32" s="2">
        <v>7</v>
      </c>
      <c r="G32" s="2">
        <v>0.379</v>
      </c>
      <c r="H32" s="2">
        <v>580</v>
      </c>
      <c r="I32" s="2">
        <v>-8.1999999999999993</v>
      </c>
      <c r="J32" s="2">
        <v>8.4</v>
      </c>
      <c r="K32" s="2">
        <v>-35</v>
      </c>
      <c r="L32" s="2">
        <v>27</v>
      </c>
      <c r="M32" s="2">
        <v>0</v>
      </c>
      <c r="N32" s="2">
        <v>1</v>
      </c>
      <c r="O32" s="2">
        <v>0.24</v>
      </c>
      <c r="P32" s="2">
        <v>5.0999999999999996</v>
      </c>
      <c r="Q32" s="2">
        <v>0.52</v>
      </c>
      <c r="R32" s="3"/>
    </row>
    <row r="33" spans="1:18" ht="18.75" x14ac:dyDescent="0.2">
      <c r="A33" s="2">
        <v>3.4</v>
      </c>
      <c r="B33" s="2">
        <v>7</v>
      </c>
      <c r="C33" s="2">
        <v>1050</v>
      </c>
      <c r="D33" s="2">
        <v>2.2000000000000002</v>
      </c>
      <c r="E33" s="2">
        <v>5.5</v>
      </c>
      <c r="F33" s="2">
        <v>12</v>
      </c>
      <c r="G33" s="2">
        <v>0.379</v>
      </c>
      <c r="H33" s="2">
        <v>580</v>
      </c>
      <c r="I33" s="2">
        <v>-8.1999999999999993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0.876</v>
      </c>
      <c r="P33" s="2">
        <v>4.9000000000000004</v>
      </c>
      <c r="Q33" s="2">
        <v>0.75</v>
      </c>
      <c r="R33" s="4"/>
    </row>
    <row r="34" spans="1:18" ht="18.75" x14ac:dyDescent="0.2">
      <c r="A34" s="2">
        <v>6.3</v>
      </c>
      <c r="B34" s="2">
        <v>6.6</v>
      </c>
      <c r="C34" s="2">
        <v>980</v>
      </c>
      <c r="D34" s="2">
        <v>0</v>
      </c>
      <c r="E34" s="2">
        <v>3</v>
      </c>
      <c r="F34" s="2">
        <v>5</v>
      </c>
      <c r="G34" s="2">
        <v>0.23599999999999999</v>
      </c>
      <c r="H34" s="2">
        <v>380.99</v>
      </c>
      <c r="I34" s="2" t="s">
        <v>16</v>
      </c>
      <c r="J34" s="2">
        <v>7.8</v>
      </c>
      <c r="K34" s="2">
        <v>-41</v>
      </c>
      <c r="L34" s="2">
        <v>60</v>
      </c>
      <c r="M34" s="2">
        <v>33</v>
      </c>
      <c r="N34" s="2">
        <v>0.6</v>
      </c>
      <c r="O34" s="2">
        <v>6.5000000000000002E-2</v>
      </c>
      <c r="P34" s="2">
        <v>4.3</v>
      </c>
      <c r="Q34" s="2">
        <v>0.64</v>
      </c>
      <c r="R34" s="3"/>
    </row>
    <row r="35" spans="1:18" ht="18.75" x14ac:dyDescent="0.2">
      <c r="A35" s="2">
        <v>0.42</v>
      </c>
      <c r="B35" s="2">
        <v>10</v>
      </c>
      <c r="C35" s="2">
        <v>2060</v>
      </c>
      <c r="D35" s="2">
        <v>3.6</v>
      </c>
      <c r="E35" s="2">
        <v>0</v>
      </c>
      <c r="F35" s="2">
        <v>15</v>
      </c>
      <c r="G35" s="2">
        <v>0.379</v>
      </c>
      <c r="H35" s="2">
        <v>580</v>
      </c>
      <c r="I35" s="2">
        <v>-8.1999999999999993</v>
      </c>
      <c r="J35" s="2">
        <v>7.8</v>
      </c>
      <c r="K35" s="2">
        <v>-41</v>
      </c>
      <c r="L35" s="2">
        <v>60</v>
      </c>
      <c r="M35" s="2">
        <v>33</v>
      </c>
      <c r="N35" s="2">
        <v>0.6</v>
      </c>
      <c r="O35" s="2">
        <v>0.3</v>
      </c>
      <c r="P35" s="2">
        <v>5.3</v>
      </c>
      <c r="Q35" s="2">
        <v>0.42</v>
      </c>
      <c r="R35" s="3"/>
    </row>
    <row r="36" spans="1:18" ht="18.75" x14ac:dyDescent="0.2">
      <c r="A36" s="2">
        <v>6.2</v>
      </c>
      <c r="B36" s="2">
        <v>11</v>
      </c>
      <c r="C36" s="2">
        <v>1300</v>
      </c>
      <c r="D36" s="2">
        <v>4.5</v>
      </c>
      <c r="E36" s="2">
        <v>0</v>
      </c>
      <c r="F36" s="2">
        <v>30</v>
      </c>
      <c r="G36" s="2">
        <v>0.379</v>
      </c>
      <c r="H36" s="2">
        <v>580</v>
      </c>
      <c r="I36" s="2">
        <v>-8.1999999999999993</v>
      </c>
      <c r="J36" s="2">
        <v>8.4</v>
      </c>
      <c r="K36" s="2">
        <v>-35</v>
      </c>
      <c r="L36" s="2">
        <v>27</v>
      </c>
      <c r="M36" s="2">
        <v>0</v>
      </c>
      <c r="N36" s="2">
        <v>1</v>
      </c>
      <c r="O36" s="2">
        <v>0.68</v>
      </c>
      <c r="P36" s="2">
        <v>5</v>
      </c>
      <c r="Q36" s="2">
        <v>0.49</v>
      </c>
      <c r="R36" s="3"/>
    </row>
    <row r="37" spans="1:18" ht="18.75" x14ac:dyDescent="0.2">
      <c r="A37" s="2">
        <v>4.3</v>
      </c>
      <c r="B37" s="2">
        <v>6.4</v>
      </c>
      <c r="C37" s="2">
        <v>1650</v>
      </c>
      <c r="D37" s="2">
        <v>0</v>
      </c>
      <c r="E37" s="2">
        <v>0</v>
      </c>
      <c r="F37" s="2">
        <v>4</v>
      </c>
      <c r="G37" s="2">
        <v>0.379</v>
      </c>
      <c r="H37" s="2">
        <v>580</v>
      </c>
      <c r="I37" s="2">
        <v>-8.1999999999999993</v>
      </c>
      <c r="J37" s="2">
        <v>7.8</v>
      </c>
      <c r="K37" s="2">
        <v>-41</v>
      </c>
      <c r="L37" s="2">
        <v>60</v>
      </c>
      <c r="M37" s="2">
        <v>33</v>
      </c>
      <c r="N37" s="2">
        <v>0.6</v>
      </c>
      <c r="O37" s="2">
        <v>0.11899999999999999</v>
      </c>
      <c r="P37" s="2">
        <v>4.66</v>
      </c>
      <c r="Q37" s="2">
        <v>0.8</v>
      </c>
      <c r="R37" s="3"/>
    </row>
    <row r="38" spans="1:18" ht="18.75" x14ac:dyDescent="0.2">
      <c r="A38" s="2">
        <v>5.9</v>
      </c>
      <c r="B38" s="2">
        <v>6.4</v>
      </c>
      <c r="C38" s="2">
        <v>1020</v>
      </c>
      <c r="D38" s="2">
        <v>3.5</v>
      </c>
      <c r="E38" s="2">
        <v>0</v>
      </c>
      <c r="F38" s="2">
        <v>5</v>
      </c>
      <c r="G38" s="2">
        <v>0.379</v>
      </c>
      <c r="H38" s="2">
        <v>580</v>
      </c>
      <c r="I38" s="2">
        <v>-8.1999999999999993</v>
      </c>
      <c r="J38" s="2">
        <v>7.8</v>
      </c>
      <c r="K38" s="2">
        <v>-41</v>
      </c>
      <c r="L38" s="2">
        <v>60</v>
      </c>
      <c r="M38" s="2">
        <v>33</v>
      </c>
      <c r="N38" s="2">
        <v>0.6</v>
      </c>
      <c r="O38" s="2">
        <v>0.12</v>
      </c>
      <c r="P38" s="2">
        <v>4.3</v>
      </c>
      <c r="Q38" s="2">
        <v>0.3</v>
      </c>
      <c r="R38" s="3"/>
    </row>
    <row r="39" spans="1:18" ht="18.75" x14ac:dyDescent="0.2">
      <c r="A39" s="2">
        <v>4.3</v>
      </c>
      <c r="B39" s="2">
        <v>11</v>
      </c>
      <c r="C39" s="2">
        <v>1300</v>
      </c>
      <c r="D39" s="2">
        <v>4.5</v>
      </c>
      <c r="E39" s="2">
        <v>0</v>
      </c>
      <c r="F39" s="2">
        <v>30</v>
      </c>
      <c r="G39" s="2">
        <v>0.379</v>
      </c>
      <c r="H39" s="2">
        <v>580</v>
      </c>
      <c r="I39" s="2">
        <v>-8.1999999999999993</v>
      </c>
      <c r="J39" s="2">
        <f>(J38+J30)/2</f>
        <v>6.65</v>
      </c>
      <c r="K39" s="2">
        <f t="shared" ref="K39:N39" si="2">(K38+K30)/2</f>
        <v>27</v>
      </c>
      <c r="L39" s="2">
        <f t="shared" si="2"/>
        <v>35</v>
      </c>
      <c r="M39" s="2">
        <f t="shared" si="2"/>
        <v>29</v>
      </c>
      <c r="N39" s="2">
        <f t="shared" si="2"/>
        <v>2</v>
      </c>
      <c r="O39" s="2">
        <v>0.112</v>
      </c>
      <c r="P39" s="2">
        <v>4.9000000000000004</v>
      </c>
      <c r="Q39" s="2">
        <v>0.43</v>
      </c>
      <c r="R39" s="3"/>
    </row>
    <row r="40" spans="1:18" ht="18.75" x14ac:dyDescent="0.2">
      <c r="A40" s="7">
        <v>1</v>
      </c>
      <c r="B40" s="7">
        <v>12</v>
      </c>
      <c r="C40" s="7">
        <v>2200</v>
      </c>
      <c r="D40" s="7">
        <v>1.6</v>
      </c>
      <c r="E40" s="7">
        <v>0.9</v>
      </c>
      <c r="F40" s="7">
        <v>18</v>
      </c>
      <c r="G40" s="2">
        <v>0.379</v>
      </c>
      <c r="H40" s="2">
        <v>580</v>
      </c>
      <c r="I40" s="2">
        <v>-8.1999999999999993</v>
      </c>
      <c r="J40" s="7">
        <v>6.65</v>
      </c>
      <c r="K40" s="7">
        <v>-20.5</v>
      </c>
      <c r="L40" s="7">
        <v>30</v>
      </c>
      <c r="M40" s="7">
        <v>16.5</v>
      </c>
      <c r="N40" s="7">
        <v>0.3</v>
      </c>
      <c r="O40" s="7">
        <v>0.52</v>
      </c>
      <c r="P40" s="7">
        <v>4.82</v>
      </c>
      <c r="Q40" s="7">
        <v>0.7</v>
      </c>
    </row>
    <row r="41" spans="1:18" ht="18.75" x14ac:dyDescent="0.2">
      <c r="A41" s="7">
        <v>1.1000000000000001</v>
      </c>
      <c r="B41" s="7">
        <v>12</v>
      </c>
      <c r="C41" s="7">
        <v>2300</v>
      </c>
      <c r="D41" s="7">
        <v>1.5</v>
      </c>
      <c r="E41" s="7">
        <v>0.9</v>
      </c>
      <c r="F41" s="7">
        <v>18</v>
      </c>
      <c r="G41" s="7" t="s">
        <v>17</v>
      </c>
      <c r="H41" s="2">
        <v>794.5</v>
      </c>
      <c r="I41" s="2">
        <v>-8.15</v>
      </c>
      <c r="J41" s="7">
        <v>6.65</v>
      </c>
      <c r="K41" s="7">
        <v>-20.5</v>
      </c>
      <c r="L41" s="7">
        <v>30</v>
      </c>
      <c r="M41" s="7">
        <v>16.5</v>
      </c>
      <c r="N41" s="7">
        <v>0.3</v>
      </c>
      <c r="O41" s="7">
        <v>0.51</v>
      </c>
      <c r="P41" s="7">
        <v>4.82</v>
      </c>
      <c r="Q41" s="7">
        <v>0.7</v>
      </c>
    </row>
    <row r="42" spans="1:18" ht="18.75" x14ac:dyDescent="0.2">
      <c r="A42" s="7">
        <v>14</v>
      </c>
      <c r="B42" s="7">
        <v>1.75</v>
      </c>
      <c r="C42" s="7">
        <v>2100</v>
      </c>
      <c r="D42" s="7">
        <v>6.774</v>
      </c>
      <c r="E42" s="7">
        <v>0.224</v>
      </c>
      <c r="F42" s="7">
        <v>24</v>
      </c>
      <c r="G42" s="2">
        <v>0.379</v>
      </c>
      <c r="H42" s="2">
        <v>580</v>
      </c>
      <c r="I42" s="2">
        <v>-8.1999999999999993</v>
      </c>
      <c r="J42" s="7">
        <v>5.5</v>
      </c>
      <c r="K42" s="7">
        <v>95</v>
      </c>
      <c r="L42" s="7">
        <v>10</v>
      </c>
      <c r="M42" s="7">
        <v>25</v>
      </c>
      <c r="N42" s="7">
        <v>3.4</v>
      </c>
      <c r="O42" s="7">
        <v>0.51</v>
      </c>
      <c r="P42" s="7">
        <v>4.82</v>
      </c>
      <c r="Q42" s="7">
        <v>0.69</v>
      </c>
    </row>
    <row r="43" spans="1:18" ht="18.75" x14ac:dyDescent="0.2">
      <c r="A43" s="7">
        <v>6.1</v>
      </c>
      <c r="B43" s="7">
        <v>1.4</v>
      </c>
      <c r="C43" s="7">
        <v>1175</v>
      </c>
      <c r="D43" s="7">
        <v>3.72</v>
      </c>
      <c r="E43" s="7">
        <v>12.61</v>
      </c>
      <c r="F43" s="7">
        <v>14</v>
      </c>
      <c r="G43" s="7" t="s">
        <v>17</v>
      </c>
      <c r="H43" s="2">
        <v>794.5</v>
      </c>
      <c r="I43" s="2">
        <v>-8.15</v>
      </c>
      <c r="J43" s="7">
        <v>5.5</v>
      </c>
      <c r="K43" s="7">
        <v>95</v>
      </c>
      <c r="L43" s="7">
        <v>10</v>
      </c>
      <c r="M43" s="7">
        <v>25</v>
      </c>
      <c r="N43" s="7">
        <v>3.4</v>
      </c>
      <c r="O43" s="7">
        <v>1.4</v>
      </c>
      <c r="P43" s="7">
        <v>4.67</v>
      </c>
      <c r="Q43" s="7">
        <v>0.87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庄泽隆</dc:creator>
  <cp:lastModifiedBy>Zelong Zhuang</cp:lastModifiedBy>
  <dcterms:created xsi:type="dcterms:W3CDTF">2015-06-05T18:19:00Z</dcterms:created>
  <dcterms:modified xsi:type="dcterms:W3CDTF">2026-03-13T09:17:12Z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834EC045CF6E46508506C85F98EEDED5_12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